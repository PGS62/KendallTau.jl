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KendallTau\workbooks\"/>
    </mc:Choice>
  </mc:AlternateContent>
  <xr:revisionPtr revIDLastSave="0" documentId="13_ncr:1_{447E37CB-A602-42B6-A343-FEFD0A712A93}" xr6:coauthVersionLast="47" xr6:coauthVersionMax="47" xr10:uidLastSave="{00000000-0000-0000-0000-000000000000}"/>
  <bookViews>
    <workbookView xWindow="-120" yWindow="-120" windowWidth="38640" windowHeight="21120" xr2:uid="{9BD3CC78-9BC0-4D37-ACD4-9EB38754EAFA}"/>
  </bookViews>
  <sheets>
    <sheet name="Sheet1" sheetId="1" r:id="rId1"/>
  </sheets>
  <externalReferences>
    <externalReference r:id="rId2"/>
  </externalReferences>
  <definedNames>
    <definedName name="Allocations1" localSheetId="0">Sheet1!$E$26:$E$31</definedName>
    <definedName name="Allocations2" localSheetId="0">Sheet1!$F$26:$F$31</definedName>
    <definedName name="Call_to_JuliaEval" localSheetId="0">Sheet1!$B$26:$B$31</definedName>
    <definedName name="Call_to_JuliaLaunch" localSheetId="0">Sheet1!$B$7</definedName>
    <definedName name="CommandLineOptions" localSheetId="0">Sheet1!$B$5</definedName>
    <definedName name="JuliaExpression" localSheetId="0">Sheet1!$B$9:$B$22</definedName>
    <definedName name="NumThreads" localSheetId="0">Sheet1!$B$3</definedName>
    <definedName name="RecalcTestCode" localSheetId="0">Sheet1!$D$24:$J$32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 a="1"/>
  <c r="B22" i="1"/>
  <c r="D26" i="1" a="1"/>
  <c r="D26" i="1"/>
  <c r="G26" i="1" a="1"/>
  <c r="G26" i="1"/>
  <c r="H26" i="1" a="1"/>
  <c r="H26" i="1"/>
  <c r="J26" i="1" a="1"/>
  <c r="J26" i="1"/>
  <c r="B26" i="1" a="1"/>
  <c r="B26" i="1"/>
  <c r="B7" i="1" a="1"/>
  <c r="B7" i="1"/>
  <c r="B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<sst xmlns="http://schemas.openxmlformats.org/spreadsheetml/2006/main" count="21" uniqueCount="21">
  <si>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using KendallTau</t>
  </si>
  <si>
    <t>x=rand(1000,10)</t>
  </si>
  <si>
    <t>Random.seed!(1)</t>
  </si>
  <si>
    <t>xm = ifelse.( x .&lt; .1, missing, x)</t>
  </si>
  <si>
    <t>corkendall(x)</t>
  </si>
  <si>
    <t>corkendall(xm,skipmissing=:listwise)</t>
  </si>
  <si>
    <t>corkendall(xm,skipmissing=:pairwise)</t>
  </si>
  <si>
    <t>corspearman(x)</t>
  </si>
  <si>
    <t>corspearman(xm,skipmissing=:listwise)</t>
  </si>
  <si>
    <t>corspearman(xm,skipmissing=:pairwise)</t>
  </si>
  <si>
    <t>using Random</t>
  </si>
  <si>
    <t>x=rand(1000,100)</t>
  </si>
  <si>
    <t>xm = ifelse.( x .&lt; .01, missing, x)</t>
  </si>
  <si>
    <t>Workbook to generate tests for checking allocations</t>
  </si>
  <si>
    <t>NumThreads</t>
  </si>
  <si>
    <t>CommandLineOptions</t>
  </si>
  <si>
    <t>Call to JuliaLaunch</t>
  </si>
  <si>
    <t>JuliaExpression</t>
  </si>
  <si>
    <t>Allocations</t>
  </si>
  <si>
    <t>Test code</t>
  </si>
  <si>
    <t>Call to JuliaEval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</si>
</sst>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\-#,##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 applyAlignment="1">
      <alignment horizontal="left"/>
    </xf>
    <xf numFmtId="164" fontId="0" fillId="0" borderId="0" xfId="0" applyNumberFormat="1"/>
    <xf numFmtId="0" fontId="2" fillId="0" borderId="0" xfId="0" applyFont="1" applyProtection="1">
      <protection locked="0"/>
    </xf>
    <xf numFmtId="0" fontId="3" fillId="0" borderId="0" xfId="0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</xdr:rowOff>
    </xdr:from>
    <xdr:to>
      <xdr:col>10</xdr:col>
      <xdr:colOff>0</xdr:colOff>
      <xdr:row>9</xdr:row>
      <xdr:rowOff>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671D6A-3ABD-EF54-2481-C2B21E74F3D1}"/>
            </a:ext>
          </a:extLst>
        </xdr:cNvPr>
        <xdr:cNvSpPr txBox="1"/>
      </xdr:nvSpPr>
      <xdr:spPr>
        <a:xfrm>
          <a:off x="6562725" y="361951"/>
          <a:ext cx="8296275" cy="152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This</a:t>
          </a:r>
          <a:r>
            <a:rPr lang="en-GB" sz="1100" baseline="0"/>
            <a:t> workbooks generates Julia code to test allocations made by the functions corkendall and corspearman from package KendallTau (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https://github.com/PGS62/KendallTau.jl)</a:t>
          </a:r>
          <a:endParaRPr lang="en-GB" sz="1100" baseline="0"/>
        </a:p>
        <a:p>
          <a:endParaRPr lang="en-GB" sz="1100" baseline="0"/>
        </a:p>
        <a:p>
          <a:r>
            <a:rPr lang="en-GB" sz="1100" b="1" baseline="0"/>
            <a:t>Prerequisites</a:t>
          </a:r>
        </a:p>
        <a:p>
          <a:r>
            <a:rPr lang="en-GB" sz="1100" baseline="0"/>
            <a:t>Package JuliaExcel is installed (https://github.com/PGS62/JuliaExcel.jl) in the global environment</a:t>
          </a:r>
        </a:p>
        <a:p>
          <a:r>
            <a:rPr lang="en-GB" sz="1100" baseline="0"/>
            <a:t>Package Random is also installed</a:t>
          </a:r>
        </a:p>
        <a:p>
          <a:r>
            <a:rPr lang="en-GB" sz="1100" baseline="0"/>
            <a:t>Assumes KendallTau is being developed at c:/Projects/KendallTau, edit cell CommandLineOptions if the location is different.</a:t>
          </a:r>
        </a:p>
        <a:p>
          <a:endParaRPr lang="en-GB" sz="1100" baseline="0"/>
        </a:p>
        <a:p>
          <a:endParaRPr lang="en-GB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ublic\JuliaExcel\JuliaExcel.xlam" TargetMode="External"/><Relationship Id="rId1" Type="http://schemas.openxmlformats.org/officeDocument/2006/relationships/externalLinkPath" Target="/Users/Public/JuliaExcel/Julia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dit"/>
      <sheetName val="_IntelliSense_"/>
    </sheetNames>
    <definedNames>
      <definedName name="JuliaEval"/>
      <definedName name="JuliaLaunch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59724-A56F-4ACC-A0EE-7DFEFF74A5F2}">
  <sheetPr codeName="Sheet1"/>
  <dimension ref="A1:J31"/>
  <sheetViews>
    <sheetView showGridLines="0" showRowColHeaders="0" tabSelected="1" workbookViewId="0"/>
  </sheetViews>
  <sheetFormatPr defaultRowHeight="15" x14ac:dyDescent="0.25"/>
  <cols>
    <col min="1" max="1" width="21.5703125" bestFit="1" customWidth="1"/>
    <col min="4" max="4" width="38.28515625" bestFit="1" customWidth="1"/>
    <col min="5" max="6" width="10.140625" bestFit="1" customWidth="1"/>
    <col min="7" max="7" width="9" bestFit="1" customWidth="1"/>
    <col min="8" max="8" width="10.140625" bestFit="1" customWidth="1"/>
    <col min="10" max="10" width="63.42578125" customWidth="1"/>
  </cols>
  <sheetData>
    <row r="1" spans="1:2" ht="28.5" x14ac:dyDescent="0.45">
      <c r="A1" s="4" t="s">
        <v>13</v>
      </c>
    </row>
    <row r="3" spans="1:2" x14ac:dyDescent="0.25">
      <c r="A3" t="s">
        <v>14</v>
      </c>
      <c r="B3" s="3">
        <v>4</v>
      </c>
    </row>
    <row r="5" spans="1:2" x14ac:dyDescent="0.25">
      <c r="A5" t="s">
        <v>15</v>
      </c>
      <c r="B5" s="1" t="str">
        <f ca="1">"--threads "&amp;NumThreads&amp;" --project=c:/Projects/KendallTau"</f>
        <v>--threads 4 --project=c:/Projects/KendallTau</v>
      </c>
    </row>
    <row r="7" spans="1:2" x14ac:dyDescent="0.25">
      <c r="A7" t="s">
        <v>16</v>
      </c>
      <c r="B7" t="str" cm="1">
        <f t="array" aca="1" ref="B7" ca="1">[1]!JuliaLaunch(,,CommandLineOptions)</f>
        <v>Julia launched in window "Julia 1.10.2 on Windows serving Excel PID 21648"</v>
      </c>
    </row>
    <row r="9" spans="1:2" x14ac:dyDescent="0.25">
      <c r="A9" t="s">
        <v>17</v>
      </c>
      <c r="B9" t="s">
        <v>0</v>
      </c>
    </row>
    <row r="10" spans="1:2" x14ac:dyDescent="0.25">
      <c r="B10" t="s">
        <v>10</v>
      </c>
    </row>
    <row r="11" spans="1:2" x14ac:dyDescent="0.25">
      <c r="B11" t="s">
        <v>2</v>
      </c>
    </row>
    <row r="12" spans="1:2" x14ac:dyDescent="0.25">
      <c r="B12" s="1" t="s">
        <v>1</v>
      </c>
    </row>
    <row r="13" spans="1:2" x14ac:dyDescent="0.25">
      <c r="B13" s="1" t="s">
        <v>3</v>
      </c>
    </row>
    <row r="14" spans="1:2" x14ac:dyDescent="0.25">
      <c r="B14" s="1" t="s">
        <v>4</v>
      </c>
    </row>
    <row r="15" spans="1:2" x14ac:dyDescent="0.25">
      <c r="B15" s="1" t="s">
        <v>5</v>
      </c>
    </row>
    <row r="16" spans="1:2" x14ac:dyDescent="0.25">
      <c r="B16" s="1" t="s">
        <v>6</v>
      </c>
    </row>
    <row r="17" spans="1:10" x14ac:dyDescent="0.25">
      <c r="B17" s="1" t="s">
        <v>7</v>
      </c>
    </row>
    <row r="18" spans="1:10" x14ac:dyDescent="0.25">
      <c r="B18" s="1" t="s">
        <v>8</v>
      </c>
    </row>
    <row r="19" spans="1:10" x14ac:dyDescent="0.25">
      <c r="B19" s="1" t="s">
        <v>9</v>
      </c>
    </row>
    <row r="20" spans="1:10" x14ac:dyDescent="0.25">
      <c r="B20" s="1" t="s">
        <v>11</v>
      </c>
    </row>
    <row r="21" spans="1:10" x14ac:dyDescent="0.25">
      <c r="B21" s="1" t="s">
        <v>12</v>
      </c>
    </row>
    <row r="22" spans="1:10" x14ac:dyDescent="0.25">
      <c r="B22" s="1" t="str" cm="1">
        <f t="array" aca="1" ref="B22" ca="1">"["&amp;_xlfn.TEXTJOIN(",",,"(@allocated " &amp;B14:B19 &amp;  ")")&amp;"]"</f>
        <v>[(@allocated corkendall(x)),(@allocated corkendall(xm,skipmissing=:listwise)),(@allocated corkendall(xm,skipmissing=:pairwise)),(@allocated corspearman(x)),(@allocated corspearman(xm,skipmissing=:listwise)),(@allocated corspearman(xm,skipmissing=:pairwise))]</v>
      </c>
    </row>
    <row r="24" spans="1:10" x14ac:dyDescent="0.25">
      <c r="J24" s="1"/>
    </row>
    <row r="25" spans="1:10" x14ac:dyDescent="0.25">
      <c r="B25" t="s">
        <v>18</v>
      </c>
      <c r="E25">
        <v>20</v>
      </c>
      <c r="F25">
        <v>4</v>
      </c>
      <c r="J25" s="5" t="s">
        <v>19</v>
      </c>
    </row>
    <row r="26" spans="1:10" x14ac:dyDescent="0.25">
      <c r="A26" t="s">
        <v>20</v>
      </c>
      <c r="B26" s="2" cm="1">
        <f t="array" aca="1" ref="B26:B31" ca="1">[1]!JuliaEval(JuliaExpression)</f>
        <v>1129856</v>
      </c>
      <c r="D26" t="str" cm="1">
        <f t="array" aca="1" ref="D26:D31" ca="1">B14:B19</f>
        <v>corkendall(x)</v>
      </c>
      <c r="E26" s="2">
        <v>2058304</v>
      </c>
      <c r="F26" s="2">
        <v>1129856</v>
      </c>
      <c r="G26" s="2" cm="1">
        <f t="array" aca="1" ref="G26:G31" ca="1">(E26:E31-F26:F31)/(E25-F25)</f>
        <v>58028</v>
      </c>
      <c r="H26" s="2" cm="1">
        <f t="array" aca="1" ref="H26:H31" ca="1">F26:F31-_xlfn.ANCHORARRAY(G26)*F25</f>
        <v>897744</v>
      </c>
      <c r="J26" t="str" cm="1">
        <f t="array" aca="1" ref="J26:J31" ca="1">"@test (@allocated "&amp;_xlfn.ANCHORARRAY(D26)&amp;") &lt; ("&amp;SUBSTITUTE(TEXT(_xlfn.ANCHORARRAY(H26),"###,###"),",","_")&amp;" + Threads.nthreads() * "&amp;SUBSTITUTE(TEXT(_xlfn.ANCHORARRAY(G26),"###,###"),",","_") &amp;") * 1.2"</f>
        <v>@test (@allocated corkendall(x)) &lt; (897_744 + Threads.nthreads() * 58_028) * 1.2</v>
      </c>
    </row>
    <row r="27" spans="1:10" x14ac:dyDescent="0.25">
      <c r="B27" s="2">
        <f ca="1"/>
        <v>1207952</v>
      </c>
      <c r="D27" t="str">
        <f ca="1"/>
        <v>corkendall(xm,skipmissing=:listwise)</v>
      </c>
      <c r="E27" s="2">
        <v>1562448</v>
      </c>
      <c r="F27" s="2">
        <v>1207952</v>
      </c>
      <c r="G27" s="2">
        <f ca="1"/>
        <v>22156</v>
      </c>
      <c r="H27" s="2">
        <f ca="1"/>
        <v>1119328</v>
      </c>
      <c r="J27" t="str">
        <f ca="1"/>
        <v>@test (@allocated corkendall(xm,skipmissing=:listwise)) &lt; (1_119_328 + Threads.nthreads() * 22_156) * 1.2</v>
      </c>
    </row>
    <row r="28" spans="1:10" x14ac:dyDescent="0.25">
      <c r="B28" s="2">
        <f ca="1"/>
        <v>1136448</v>
      </c>
      <c r="D28" t="str">
        <f ca="1"/>
        <v>corkendall(xm,skipmissing=:pairwise)</v>
      </c>
      <c r="E28" s="2">
        <v>2114048</v>
      </c>
      <c r="F28" s="2">
        <v>1136448</v>
      </c>
      <c r="G28" s="2">
        <f ca="1"/>
        <v>61100</v>
      </c>
      <c r="H28" s="2">
        <f ca="1"/>
        <v>892048</v>
      </c>
      <c r="J28" t="str">
        <f ca="1"/>
        <v>@test (@allocated corkendall(xm,skipmissing=:pairwise)) &lt; (892_048 + Threads.nthreads() * 61_100) * 1.2</v>
      </c>
    </row>
    <row r="29" spans="1:10" x14ac:dyDescent="0.25">
      <c r="B29" s="2">
        <f ca="1"/>
        <v>3517488</v>
      </c>
      <c r="D29" t="str">
        <f ca="1"/>
        <v>corspearman(x)</v>
      </c>
      <c r="E29" s="2">
        <v>3663536</v>
      </c>
      <c r="F29" s="2">
        <v>3517488</v>
      </c>
      <c r="G29" s="2">
        <f ca="1"/>
        <v>9128</v>
      </c>
      <c r="H29" s="2">
        <f ca="1"/>
        <v>3480976</v>
      </c>
      <c r="J29" t="str">
        <f ca="1"/>
        <v>@test (@allocated corspearman(x)) &lt; (3_480_976 + Threads.nthreads() * 9_128) * 1.2</v>
      </c>
    </row>
    <row r="30" spans="1:10" x14ac:dyDescent="0.25">
      <c r="B30" s="2">
        <f ca="1"/>
        <v>2106224</v>
      </c>
      <c r="D30" t="str">
        <f ca="1"/>
        <v>corspearman(xm,skipmissing=:listwise)</v>
      </c>
      <c r="E30" s="2">
        <v>2170096</v>
      </c>
      <c r="F30" s="2">
        <v>2106224</v>
      </c>
      <c r="G30" s="2">
        <f ca="1"/>
        <v>3992</v>
      </c>
      <c r="H30" s="2">
        <f ca="1"/>
        <v>2090256</v>
      </c>
      <c r="J30" t="str">
        <f ca="1"/>
        <v>@test (@allocated corspearman(xm,skipmissing=:listwise)) &lt; (2_090_256 + Threads.nthreads() * 3_992) * 1.2</v>
      </c>
    </row>
    <row r="31" spans="1:10" x14ac:dyDescent="0.25">
      <c r="B31" s="2">
        <f ca="1"/>
        <v>1960832</v>
      </c>
      <c r="D31" t="str">
        <f ca="1"/>
        <v>corspearman(xm,skipmissing=:pairwise)</v>
      </c>
      <c r="E31" s="2">
        <v>3035584</v>
      </c>
      <c r="F31" s="2">
        <v>1960832</v>
      </c>
      <c r="G31" s="2">
        <f ca="1"/>
        <v>67172</v>
      </c>
      <c r="H31" s="2">
        <f ca="1"/>
        <v>1692144</v>
      </c>
      <c r="J31" t="str">
        <f ca="1"/>
        <v>@test (@allocated corspearman(xm,skipmissing=:pairwise)) &lt; (1_692_144 + Threads.nthreads() * 67_172) * 1.2</v>
      </c>
    </row>
  </sheetData>
  <sheetProtection sheet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Sheet1!Allocations1</vt:lpstr>
      <vt:lpstr>Sheet1!Allocations2</vt:lpstr>
      <vt:lpstr>Sheet1!Call_to_JuliaEval</vt:lpstr>
      <vt:lpstr>Sheet1!Call_to_JuliaLaunch</vt:lpstr>
      <vt:lpstr>Sheet1!CommandLineOptions</vt:lpstr>
      <vt:lpstr>Sheet1!JuliaExpression</vt:lpstr>
      <vt:lpstr>Sheet1!NumThreads</vt:lpstr>
      <vt:lpstr>Sheet1!RecalcTestCode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2024-03-08T10:20:19Z</dcterms:created>
  <dcterms:modified xsi:type="dcterms:W3CDTF">2024-03-10T17:57:47Z</dcterms:modified>
</cp:coreProperties>
</file>